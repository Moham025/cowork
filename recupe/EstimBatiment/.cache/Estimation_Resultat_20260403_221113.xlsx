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ion Glob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4" fontId="1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6" customWidth="1" min="3" max="3"/>
    <col width="12" customWidth="1" min="4" max="4"/>
    <col width="10" customWidth="1" min="5" max="5"/>
    <col width="15" customWidth="1" min="6" max="6"/>
  </cols>
  <sheetData>
    <row r="1">
      <c r="A1" s="1" t="inlineStr">
        <is>
          <t>I</t>
        </is>
      </c>
      <c r="B1" s="2" t="inlineStr">
        <is>
          <t>TERRASSEMENT</t>
        </is>
      </c>
      <c r="C1" s="3" t="n"/>
      <c r="D1" s="3" t="n"/>
      <c r="E1" s="3" t="n"/>
      <c r="F1" s="3" t="n"/>
    </row>
    <row r="2">
      <c r="A2" s="4" t="inlineStr">
        <is>
          <t>I.1</t>
        </is>
      </c>
      <c r="B2" s="5" t="inlineStr">
        <is>
          <t>IMPLANTATION</t>
        </is>
      </c>
      <c r="C2" s="6" t="inlineStr">
        <is>
          <t>m²</t>
        </is>
      </c>
      <c r="D2" s="7" t="n">
        <v>300</v>
      </c>
      <c r="E2" s="7" t="n">
        <v>500</v>
      </c>
      <c r="F2" s="7">
        <f>D2*E2</f>
        <v/>
      </c>
    </row>
    <row r="3">
      <c r="A3" s="4" t="inlineStr">
        <is>
          <t>I.2</t>
        </is>
      </c>
      <c r="B3" s="5" t="inlineStr">
        <is>
          <t>Fouille pour semelles filantes</t>
        </is>
      </c>
      <c r="C3" s="6" t="inlineStr">
        <is>
          <t>m3</t>
        </is>
      </c>
      <c r="D3" s="7" t="n">
        <v>18.9104</v>
      </c>
      <c r="E3" s="7" t="n">
        <v>3500</v>
      </c>
      <c r="F3" s="7">
        <f>D3*E3</f>
        <v/>
      </c>
    </row>
    <row r="4">
      <c r="A4" s="4" t="inlineStr">
        <is>
          <t>I.3</t>
        </is>
      </c>
      <c r="B4" s="5" t="inlineStr">
        <is>
          <t>Fouille pour semelles isolées</t>
        </is>
      </c>
      <c r="C4" s="6" t="inlineStr">
        <is>
          <t>m3</t>
        </is>
      </c>
      <c r="D4" s="7" t="n">
        <v>8</v>
      </c>
      <c r="E4" s="7" t="n">
        <v>4000</v>
      </c>
      <c r="F4" s="7">
        <f>D4*E4</f>
        <v/>
      </c>
    </row>
    <row r="5">
      <c r="A5" s="4" t="inlineStr">
        <is>
          <t>I.4</t>
        </is>
      </c>
      <c r="B5" s="5" t="inlineStr">
        <is>
          <t>Remblai sans apport</t>
        </is>
      </c>
      <c r="C5" s="6" t="inlineStr">
        <is>
          <t>m3</t>
        </is>
      </c>
      <c r="D5" s="7" t="n">
        <v>8</v>
      </c>
      <c r="E5" s="7" t="n">
        <v>3000</v>
      </c>
      <c r="F5" s="7">
        <f>D5*E5</f>
        <v/>
      </c>
    </row>
    <row r="6">
      <c r="A6" s="4" t="inlineStr">
        <is>
          <t>I.5</t>
        </is>
      </c>
      <c r="B6" s="5" t="inlineStr">
        <is>
          <t>Remblai avec apport</t>
        </is>
      </c>
      <c r="C6" s="6" t="inlineStr">
        <is>
          <t>m3</t>
        </is>
      </c>
      <c r="D6" s="7" t="n">
        <v>90</v>
      </c>
      <c r="E6" s="7" t="n">
        <v>5000</v>
      </c>
      <c r="F6" s="7">
        <f>D6*E6</f>
        <v/>
      </c>
    </row>
    <row r="7">
      <c r="A7" s="4" t="inlineStr">
        <is>
          <t>I.6</t>
        </is>
      </c>
      <c r="B7" s="5" t="inlineStr">
        <is>
          <t>Remblai hydraulique</t>
        </is>
      </c>
      <c r="C7" s="6" t="inlineStr">
        <is>
          <t>m2</t>
        </is>
      </c>
      <c r="D7" s="7" t="n">
        <v>7.5</v>
      </c>
      <c r="E7" s="7" t="n">
        <v>8000</v>
      </c>
      <c r="F7" s="7">
        <f>D7*E7</f>
        <v/>
      </c>
    </row>
    <row r="8">
      <c r="A8" s="4" t="inlineStr">
        <is>
          <t>I.7</t>
        </is>
      </c>
      <c r="B8" s="5" t="inlineStr">
        <is>
          <t>Film polyane et  anti-termittes</t>
        </is>
      </c>
      <c r="C8" s="6" t="inlineStr">
        <is>
          <t>m2</t>
        </is>
      </c>
      <c r="D8" s="7" t="n">
        <v>150</v>
      </c>
      <c r="E8" s="7" t="n">
        <v>2000</v>
      </c>
      <c r="F8" s="7">
        <f>D8*E8</f>
        <v/>
      </c>
    </row>
    <row r="9">
      <c r="A9" s="8" t="inlineStr">
        <is>
          <t>TOTAL I</t>
        </is>
      </c>
      <c r="B9" s="3" t="n"/>
      <c r="C9" s="3" t="n"/>
      <c r="D9" s="3" t="n"/>
      <c r="E9" s="8" t="inlineStr">
        <is>
          <t>Somme</t>
        </is>
      </c>
      <c r="F9" s="9">
        <f>SUM(F2:F8)</f>
        <v/>
      </c>
    </row>
    <row r="11">
      <c r="A11" s="1" t="inlineStr">
        <is>
          <t>II</t>
        </is>
      </c>
      <c r="B11" s="2" t="inlineStr">
        <is>
          <t>INFRASTRUCTURE</t>
        </is>
      </c>
      <c r="C11" s="3" t="n"/>
      <c r="D11" s="3" t="n"/>
      <c r="E11" s="3" t="n"/>
      <c r="F11" s="3" t="n"/>
    </row>
    <row r="12">
      <c r="A12" s="4" t="inlineStr">
        <is>
          <t>II.1</t>
        </is>
      </c>
      <c r="B12" s="5" t="inlineStr">
        <is>
          <t>Béton de propreté dosé à 150 kg/m3</t>
        </is>
      </c>
      <c r="C12" s="6" t="inlineStr">
        <is>
          <t>m3</t>
        </is>
      </c>
      <c r="D12" s="7" t="n">
        <v>2.3638</v>
      </c>
      <c r="E12" s="7" t="n">
        <v>55000</v>
      </c>
      <c r="F12" s="7">
        <f>D12*E12</f>
        <v/>
      </c>
    </row>
    <row r="13">
      <c r="A13" s="4" t="inlineStr">
        <is>
          <t>II.2</t>
        </is>
      </c>
      <c r="B13" s="5" t="inlineStr">
        <is>
          <t>Béton armé cyclopéen dosé à 250 kg/m3 pour semelle fillante</t>
        </is>
      </c>
      <c r="C13" s="6" t="inlineStr">
        <is>
          <t>m3</t>
        </is>
      </c>
      <c r="D13" s="7" t="n">
        <v>16.5466</v>
      </c>
      <c r="E13" s="7" t="n">
        <v>150000</v>
      </c>
      <c r="F13" s="7">
        <f>D13*E13</f>
        <v/>
      </c>
    </row>
    <row r="14">
      <c r="A14" s="4" t="inlineStr">
        <is>
          <t>II.3</t>
        </is>
      </c>
      <c r="B14" s="5" t="inlineStr">
        <is>
          <t>Béton armé dosé à 350 kg/m3 pour semelles isolées</t>
        </is>
      </c>
      <c r="C14" s="6" t="inlineStr">
        <is>
          <t>m3</t>
        </is>
      </c>
      <c r="D14" s="7" t="n">
        <v>2</v>
      </c>
      <c r="E14" s="7" t="n">
        <v>150000</v>
      </c>
      <c r="F14" s="7">
        <f>D14*E14</f>
        <v/>
      </c>
    </row>
    <row r="15">
      <c r="A15" s="4" t="inlineStr">
        <is>
          <t>II.4</t>
        </is>
      </c>
      <c r="B15" s="5" t="inlineStr">
        <is>
          <t>Béton armé dosé à 350 kg/m3 pour potelets</t>
        </is>
      </c>
      <c r="C15" s="6" t="inlineStr">
        <is>
          <t>m3</t>
        </is>
      </c>
      <c r="D15" s="7" t="n">
        <v>0.108</v>
      </c>
      <c r="E15" s="7" t="n">
        <v>150000</v>
      </c>
      <c r="F15" s="7">
        <f>D15*E15</f>
        <v/>
      </c>
    </row>
    <row r="16">
      <c r="A16" s="4" t="inlineStr">
        <is>
          <t>II.5</t>
        </is>
      </c>
      <c r="B16" s="5" t="inlineStr">
        <is>
          <t>Maçonnerie en agglos pleins de 20x20x40</t>
        </is>
      </c>
      <c r="C16" s="6" t="inlineStr">
        <is>
          <t>m²</t>
        </is>
      </c>
      <c r="D16" s="7" t="n">
        <v>47.276</v>
      </c>
      <c r="E16" s="7" t="n">
        <v>9000</v>
      </c>
      <c r="F16" s="7">
        <f>D16*E16</f>
        <v/>
      </c>
    </row>
    <row r="17">
      <c r="A17" s="4" t="inlineStr">
        <is>
          <t>II.6</t>
        </is>
      </c>
      <c r="B17" s="5" t="inlineStr">
        <is>
          <t>Béton armé dosé à 350 kg/m3 pour longrines</t>
        </is>
      </c>
      <c r="C17" s="6" t="inlineStr">
        <is>
          <t>m3</t>
        </is>
      </c>
      <c r="D17" s="7" t="n">
        <v>4.7276</v>
      </c>
      <c r="E17" s="7" t="n">
        <v>150000</v>
      </c>
      <c r="F17" s="7">
        <f>D17*E17</f>
        <v/>
      </c>
    </row>
    <row r="18">
      <c r="A18" s="4" t="inlineStr">
        <is>
          <t>II.7</t>
        </is>
      </c>
      <c r="B18" s="5" t="inlineStr">
        <is>
          <t>Béton armé dosé à 350 kg/m3 pour aire de dallage</t>
        </is>
      </c>
      <c r="C18" s="6" t="inlineStr">
        <is>
          <t>m3</t>
        </is>
      </c>
      <c r="D18" s="7" t="n">
        <v>0</v>
      </c>
      <c r="E18" s="7" t="n">
        <v>150000</v>
      </c>
      <c r="F18" s="7">
        <f>D18*E18</f>
        <v/>
      </c>
    </row>
    <row r="19">
      <c r="A19" s="8" t="inlineStr">
        <is>
          <t>TOTAL II</t>
        </is>
      </c>
      <c r="B19" s="3" t="n"/>
      <c r="C19" s="3" t="n"/>
      <c r="D19" s="3" t="n"/>
      <c r="E19" s="8" t="inlineStr">
        <is>
          <t>Somme</t>
        </is>
      </c>
      <c r="F19" s="9">
        <f>SUM(F12:F18)</f>
        <v/>
      </c>
    </row>
    <row r="21">
      <c r="A21" s="1" t="inlineStr">
        <is>
          <t>III</t>
        </is>
      </c>
      <c r="B21" s="2" t="inlineStr">
        <is>
          <t>SUPERSTRUCTURE</t>
        </is>
      </c>
      <c r="C21" s="3" t="n"/>
      <c r="D21" s="3" t="n"/>
      <c r="E21" s="3" t="n"/>
      <c r="F21" s="3" t="n"/>
    </row>
    <row r="22">
      <c r="A22" s="4" t="inlineStr">
        <is>
          <t>III.1</t>
        </is>
      </c>
      <c r="B22" s="5" t="inlineStr">
        <is>
          <t>Béton armé dosé à 350 kg/m3 pour poteau de structure</t>
        </is>
      </c>
      <c r="C22" s="6" t="inlineStr">
        <is>
          <t>m3</t>
        </is>
      </c>
      <c r="D22" s="7" t="n">
        <v>0.9600000000000002</v>
      </c>
      <c r="E22" s="7" t="n">
        <v>150000</v>
      </c>
      <c r="F22" s="7">
        <f>D22*E22</f>
        <v/>
      </c>
    </row>
    <row r="23">
      <c r="A23" s="4" t="inlineStr">
        <is>
          <t>III.2</t>
        </is>
      </c>
      <c r="B23" s="5" t="inlineStr">
        <is>
          <t>Béton armé dosé à 350 kg/m3 pour raidisseur</t>
        </is>
      </c>
      <c r="C23" s="6" t="inlineStr">
        <is>
          <t>m3</t>
        </is>
      </c>
      <c r="D23" s="7" t="n">
        <v>1.8</v>
      </c>
      <c r="E23" s="7" t="n">
        <v>150000</v>
      </c>
      <c r="F23" s="7">
        <f>D23*E23</f>
        <v/>
      </c>
    </row>
    <row r="24">
      <c r="A24" s="4" t="inlineStr">
        <is>
          <t>III.3</t>
        </is>
      </c>
      <c r="B24" s="5" t="inlineStr">
        <is>
          <t xml:space="preserve">Béton armé dosé à 350 kg/m3 pour poutre </t>
        </is>
      </c>
      <c r="C24" s="6" t="inlineStr">
        <is>
          <t>m3</t>
        </is>
      </c>
      <c r="D24" s="7" t="n">
        <v>1.408</v>
      </c>
      <c r="E24" s="7" t="n">
        <v>150000</v>
      </c>
      <c r="F24" s="7">
        <f>D24*E24</f>
        <v/>
      </c>
    </row>
    <row r="25">
      <c r="A25" s="4" t="inlineStr">
        <is>
          <t>III.4</t>
        </is>
      </c>
      <c r="B25" s="5" t="inlineStr">
        <is>
          <t>Plancher en hourdi y compris dalle de compression</t>
        </is>
      </c>
      <c r="C25" s="6" t="inlineStr">
        <is>
          <t>m²</t>
        </is>
      </c>
      <c r="D25" s="7" t="n">
        <v>20</v>
      </c>
      <c r="E25" s="7" t="n">
        <v>25000</v>
      </c>
      <c r="F25" s="7">
        <f>D25*E25</f>
        <v/>
      </c>
    </row>
    <row r="26">
      <c r="A26" s="4" t="inlineStr">
        <is>
          <t>III.5</t>
        </is>
      </c>
      <c r="B26" s="5" t="inlineStr">
        <is>
          <t>Béton armé dosé à 350 kg/m3 pour chainage</t>
        </is>
      </c>
      <c r="C26" s="6" t="inlineStr">
        <is>
          <t>m3</t>
        </is>
      </c>
      <c r="D26" s="7" t="n">
        <v>2.9643</v>
      </c>
      <c r="E26" s="7" t="n">
        <v>150000</v>
      </c>
      <c r="F26" s="7">
        <f>D26*E26</f>
        <v/>
      </c>
    </row>
    <row r="27">
      <c r="A27" s="4" t="inlineStr">
        <is>
          <t>III.6</t>
        </is>
      </c>
      <c r="B27" s="5" t="inlineStr">
        <is>
          <t>Béton armé dosé à 350 kg/m3 pour appuis de baie</t>
        </is>
      </c>
      <c r="C27" s="6" t="inlineStr">
        <is>
          <t>m²</t>
        </is>
      </c>
      <c r="D27" s="7" t="n">
        <v>0.6</v>
      </c>
      <c r="E27" s="7" t="n">
        <v>150000</v>
      </c>
      <c r="F27" s="7">
        <f>D27*E27</f>
        <v/>
      </c>
    </row>
    <row r="28">
      <c r="A28" s="4" t="inlineStr">
        <is>
          <t>III.7</t>
        </is>
      </c>
      <c r="B28" s="5" t="inlineStr">
        <is>
          <t>Maçonnerie en agglos creux de 15x20x40 mur interieur</t>
        </is>
      </c>
      <c r="C28" s="6" t="inlineStr">
        <is>
          <t>m²</t>
        </is>
      </c>
      <c r="D28" s="7" t="n">
        <v>354.12</v>
      </c>
      <c r="E28" s="7" t="n">
        <v>7000</v>
      </c>
      <c r="F28" s="7">
        <f>D28*E28</f>
        <v/>
      </c>
    </row>
    <row r="29">
      <c r="A29" s="4" t="inlineStr">
        <is>
          <t>III.8</t>
        </is>
      </c>
      <c r="B29" s="5" t="inlineStr">
        <is>
          <t>Maçonnerie en agglos creux de 15x20x40 mur esterieur</t>
        </is>
      </c>
      <c r="C29" s="6" t="inlineStr">
        <is>
          <t>m²</t>
        </is>
      </c>
      <c r="D29" s="7" t="n">
        <v>171</v>
      </c>
      <c r="E29" s="7" t="n">
        <v>7000</v>
      </c>
      <c r="F29" s="7">
        <f>D29*E29</f>
        <v/>
      </c>
    </row>
    <row r="30">
      <c r="A30" s="4" t="inlineStr">
        <is>
          <t>III.9</t>
        </is>
      </c>
      <c r="B30" s="5" t="inlineStr">
        <is>
          <t>Enduit intérieur au mortier de ciment</t>
        </is>
      </c>
      <c r="C30" s="6" t="inlineStr">
        <is>
          <t>m²</t>
        </is>
      </c>
      <c r="D30" s="7" t="n">
        <v>354.12</v>
      </c>
      <c r="E30" s="7" t="n">
        <v>2500</v>
      </c>
      <c r="F30" s="7">
        <f>D30*E30</f>
        <v/>
      </c>
    </row>
    <row r="31">
      <c r="A31" s="4" t="inlineStr">
        <is>
          <t>III.10</t>
        </is>
      </c>
      <c r="B31" s="5" t="inlineStr">
        <is>
          <t>Enduit sous face dalle au mortier de ciment</t>
        </is>
      </c>
      <c r="C31" s="6" t="inlineStr">
        <is>
          <t>m²</t>
        </is>
      </c>
      <c r="D31" s="7" t="n">
        <v>20</v>
      </c>
      <c r="E31" s="7" t="n">
        <v>2500</v>
      </c>
      <c r="F31" s="7">
        <f>D31*E31</f>
        <v/>
      </c>
    </row>
    <row r="32">
      <c r="A32" s="4" t="inlineStr">
        <is>
          <t>III.11</t>
        </is>
      </c>
      <c r="B32" s="5" t="inlineStr">
        <is>
          <t>Enduit extérieur au mortier de ciment</t>
        </is>
      </c>
      <c r="C32" s="6" t="inlineStr">
        <is>
          <t>m²</t>
        </is>
      </c>
      <c r="D32" s="7" t="n">
        <v>171</v>
      </c>
      <c r="E32" s="7" t="n">
        <v>2500</v>
      </c>
      <c r="F32" s="7">
        <f>D32*E32</f>
        <v/>
      </c>
    </row>
    <row r="33">
      <c r="A33" s="4" t="inlineStr">
        <is>
          <t>III.12</t>
        </is>
      </c>
      <c r="B33" s="5" t="inlineStr">
        <is>
          <t>Béton armé dosé à 350 kg/m3 de ciment CPA 45 pour escalier</t>
        </is>
      </c>
      <c r="C33" s="6" t="inlineStr">
        <is>
          <t>m³</t>
        </is>
      </c>
      <c r="D33" s="7" t="n">
        <v>0</v>
      </c>
      <c r="E33" s="7" t="n">
        <v>150000</v>
      </c>
      <c r="F33" s="7">
        <f>D33*E33</f>
        <v/>
      </c>
    </row>
    <row r="34">
      <c r="A34" s="8" t="inlineStr">
        <is>
          <t>TOTAL III</t>
        </is>
      </c>
      <c r="B34" s="3" t="n"/>
      <c r="C34" s="3" t="n"/>
      <c r="D34" s="3" t="n"/>
      <c r="E34" s="8" t="inlineStr">
        <is>
          <t>Somme</t>
        </is>
      </c>
      <c r="F34" s="9">
        <f>SUM(F22:F33)</f>
        <v/>
      </c>
    </row>
    <row r="36">
      <c r="A36" s="1" t="inlineStr">
        <is>
          <t>IV</t>
        </is>
      </c>
      <c r="B36" s="2" t="inlineStr">
        <is>
          <t>MENUISERIE</t>
        </is>
      </c>
      <c r="C36" s="3" t="n"/>
      <c r="D36" s="3" t="n"/>
      <c r="E36" s="3" t="n"/>
      <c r="F36" s="3" t="n"/>
    </row>
    <row r="37">
      <c r="A37" s="4" t="inlineStr">
        <is>
          <t>IV.1</t>
        </is>
      </c>
      <c r="B37" s="5" t="inlineStr">
        <is>
          <t>Fourniture et pose de Fenêtre, Allu vitré avec grille (120X120)</t>
        </is>
      </c>
      <c r="C37" s="6" t="inlineStr">
        <is>
          <t>u</t>
        </is>
      </c>
      <c r="D37" s="7" t="n">
        <v>3</v>
      </c>
      <c r="E37" s="7" t="n">
        <v>72000</v>
      </c>
      <c r="F37" s="7">
        <f>D37*E37</f>
        <v/>
      </c>
    </row>
    <row r="38">
      <c r="A38" s="4" t="inlineStr">
        <is>
          <t>IV.2</t>
        </is>
      </c>
      <c r="B38" s="5" t="inlineStr">
        <is>
          <t>Fourniture et pose de Fenêtre, Allu vitré avec grille (60X60)</t>
        </is>
      </c>
      <c r="C38" s="6" t="inlineStr">
        <is>
          <t>u</t>
        </is>
      </c>
      <c r="D38" s="7" t="n">
        <v>2</v>
      </c>
      <c r="E38" s="7" t="n">
        <v>18000</v>
      </c>
      <c r="F38" s="7">
        <f>D38*E38</f>
        <v/>
      </c>
    </row>
    <row r="39">
      <c r="A39" s="4" t="inlineStr">
        <is>
          <t>IV.3</t>
        </is>
      </c>
      <c r="B39" s="5" t="inlineStr">
        <is>
          <t>Fourniture et pose de Fenêtre, Allu vitré avec grille (200X180)</t>
        </is>
      </c>
      <c r="C39" s="6" t="inlineStr">
        <is>
          <t>u</t>
        </is>
      </c>
      <c r="D39" s="7" t="n">
        <v>4</v>
      </c>
      <c r="E39" s="7" t="n">
        <v>180000</v>
      </c>
      <c r="F39" s="7">
        <f>D39*E39</f>
        <v/>
      </c>
    </row>
    <row r="40">
      <c r="A40" s="4" t="inlineStr">
        <is>
          <t>IV.4</t>
        </is>
      </c>
      <c r="B40" s="5" t="inlineStr">
        <is>
          <t>Fourniture et pose de Fenêtre, Allu vitré avec grille (140X120)</t>
        </is>
      </c>
      <c r="C40" s="6" t="inlineStr">
        <is>
          <t>u</t>
        </is>
      </c>
      <c r="D40" s="7" t="n">
        <v>2</v>
      </c>
      <c r="E40" s="7" t="n">
        <v>84000</v>
      </c>
      <c r="F40" s="7">
        <f>D40*E40</f>
        <v/>
      </c>
    </row>
    <row r="41">
      <c r="A41" s="4" t="inlineStr">
        <is>
          <t>IV.5</t>
        </is>
      </c>
      <c r="B41" s="5" t="inlineStr">
        <is>
          <t>Fourniture et pose de Porte, Isoplane (80X220)</t>
        </is>
      </c>
      <c r="C41" s="6" t="inlineStr">
        <is>
          <t>u</t>
        </is>
      </c>
      <c r="D41" s="7" t="n">
        <v>6</v>
      </c>
      <c r="E41" s="7" t="n">
        <v>88000.00000000001</v>
      </c>
      <c r="F41" s="7">
        <f>D41*E41</f>
        <v/>
      </c>
    </row>
    <row r="42">
      <c r="A42" s="4" t="inlineStr">
        <is>
          <t>IV.6</t>
        </is>
      </c>
      <c r="B42" s="5" t="inlineStr">
        <is>
          <t>Fourniture et pose de Porte, Isoplane (70X220)</t>
        </is>
      </c>
      <c r="C42" s="6" t="inlineStr">
        <is>
          <t>u</t>
        </is>
      </c>
      <c r="D42" s="7" t="n">
        <v>2</v>
      </c>
      <c r="E42" s="7" t="n">
        <v>77000</v>
      </c>
      <c r="F42" s="7">
        <f>D42*E42</f>
        <v/>
      </c>
    </row>
    <row r="43">
      <c r="A43" s="4" t="inlineStr">
        <is>
          <t>IV.7</t>
        </is>
      </c>
      <c r="B43" s="5" t="inlineStr">
        <is>
          <t>Fourniture et pose de Porte, Allu vitré avec grille (80X220)</t>
        </is>
      </c>
      <c r="C43" s="6" t="inlineStr">
        <is>
          <t>u</t>
        </is>
      </c>
      <c r="D43" s="7" t="n">
        <v>2</v>
      </c>
      <c r="E43" s="7" t="n">
        <v>88000.00000000001</v>
      </c>
      <c r="F43" s="7">
        <f>D43*E43</f>
        <v/>
      </c>
    </row>
    <row r="44">
      <c r="A44" s="4" t="inlineStr">
        <is>
          <t>IV.8</t>
        </is>
      </c>
      <c r="B44" s="5" t="inlineStr">
        <is>
          <t>Fourniture et pose de Porte, Allu vitré avec grille (120X220)</t>
        </is>
      </c>
      <c r="C44" s="6" t="inlineStr">
        <is>
          <t>u</t>
        </is>
      </c>
      <c r="D44" s="7" t="n">
        <v>1</v>
      </c>
      <c r="E44" s="7" t="n">
        <v>132000</v>
      </c>
      <c r="F44" s="7">
        <f>D44*E44</f>
        <v/>
      </c>
    </row>
    <row r="45">
      <c r="A45" s="8" t="inlineStr">
        <is>
          <t>TOTAL IV</t>
        </is>
      </c>
      <c r="B45" s="3" t="n"/>
      <c r="C45" s="3" t="n"/>
      <c r="D45" s="3" t="n"/>
      <c r="E45" s="8" t="inlineStr">
        <is>
          <t>Somme</t>
        </is>
      </c>
      <c r="F45" s="9">
        <f>SUM(F37:F44)</f>
        <v/>
      </c>
    </row>
    <row r="47">
      <c r="A47" s="1" t="inlineStr">
        <is>
          <t>V</t>
        </is>
      </c>
      <c r="B47" s="2" t="inlineStr">
        <is>
          <t>ELECTRICITE</t>
        </is>
      </c>
      <c r="C47" s="3" t="n"/>
      <c r="D47" s="3" t="n"/>
      <c r="E47" s="3" t="n"/>
      <c r="F47" s="3" t="n"/>
    </row>
    <row r="48">
      <c r="A48" s="4" t="inlineStr">
        <is>
          <t>V.1</t>
        </is>
      </c>
      <c r="B48" s="5" t="inlineStr">
        <is>
          <t>Fourniture et pose de tube gorgée</t>
        </is>
      </c>
      <c r="C48" s="6" t="inlineStr">
        <is>
          <t>ff</t>
        </is>
      </c>
      <c r="D48" s="7" t="n">
        <v>1</v>
      </c>
      <c r="E48" s="7" t="n">
        <v>750000</v>
      </c>
      <c r="F48" s="7">
        <f>D48*E48</f>
        <v/>
      </c>
    </row>
    <row r="49">
      <c r="A49" s="4" t="inlineStr">
        <is>
          <t>V.2</t>
        </is>
      </c>
      <c r="B49" s="5" t="inlineStr">
        <is>
          <t>Fourniture et pose de Cable de terre</t>
        </is>
      </c>
      <c r="C49" s="6" t="inlineStr">
        <is>
          <t>ml</t>
        </is>
      </c>
      <c r="D49" s="7" t="n">
        <v>57</v>
      </c>
      <c r="E49" s="7" t="n">
        <v>1000</v>
      </c>
      <c r="F49" s="7">
        <f>D49*E49</f>
        <v/>
      </c>
    </row>
    <row r="50">
      <c r="A50" s="4" t="inlineStr">
        <is>
          <t>V.3</t>
        </is>
      </c>
      <c r="B50" s="5" t="inlineStr">
        <is>
          <t>Fourniture et pose de Croché</t>
        </is>
      </c>
      <c r="C50" s="6" t="inlineStr">
        <is>
          <t>nb</t>
        </is>
      </c>
      <c r="D50" s="7" t="n">
        <v>20</v>
      </c>
      <c r="E50" s="7" t="n">
        <v>500</v>
      </c>
      <c r="F50" s="7">
        <f>D50*E50</f>
        <v/>
      </c>
    </row>
    <row r="51">
      <c r="A51" s="4" t="inlineStr">
        <is>
          <t>V.4</t>
        </is>
      </c>
      <c r="B51" s="5" t="inlineStr">
        <is>
          <t>Fourniture et pose de filerie électrique</t>
        </is>
      </c>
      <c r="C51" s="6" t="inlineStr">
        <is>
          <t>ff</t>
        </is>
      </c>
      <c r="D51" s="7" t="n">
        <v>1</v>
      </c>
      <c r="E51" s="7" t="n">
        <v>450000</v>
      </c>
      <c r="F51" s="7">
        <f>D51*E51</f>
        <v/>
      </c>
    </row>
    <row r="52">
      <c r="A52" s="4" t="inlineStr">
        <is>
          <t>V.5</t>
        </is>
      </c>
      <c r="B52" s="5" t="inlineStr">
        <is>
          <t>Fourniture et pose de Coffret électrique équipé</t>
        </is>
      </c>
      <c r="C52" s="6" t="inlineStr">
        <is>
          <t>ff</t>
        </is>
      </c>
      <c r="D52" s="7" t="n">
        <v>1</v>
      </c>
      <c r="E52" s="7" t="n">
        <v>500000</v>
      </c>
      <c r="F52" s="7">
        <f>D52*E52</f>
        <v/>
      </c>
    </row>
    <row r="53">
      <c r="A53" s="4" t="inlineStr">
        <is>
          <t>V.6</t>
        </is>
      </c>
      <c r="B53" s="5" t="inlineStr">
        <is>
          <t>Fourniture et pose de Climatisation Type Split 2V</t>
        </is>
      </c>
      <c r="C53" s="6" t="inlineStr">
        <is>
          <t>u</t>
        </is>
      </c>
      <c r="D53" s="7" t="n">
        <v>0</v>
      </c>
      <c r="E53" s="7" t="n">
        <v>200000</v>
      </c>
      <c r="F53" s="7">
        <f>D53*E53</f>
        <v/>
      </c>
    </row>
    <row r="54">
      <c r="A54" s="4" t="inlineStr">
        <is>
          <t>V.7</t>
        </is>
      </c>
      <c r="B54" s="5" t="inlineStr">
        <is>
          <t>Fourniture et pose de Brasseur d'air + rhéostat</t>
        </is>
      </c>
      <c r="C54" s="6" t="inlineStr">
        <is>
          <t>u</t>
        </is>
      </c>
      <c r="D54" s="7" t="n">
        <v>6</v>
      </c>
      <c r="E54" s="7" t="n">
        <v>40000</v>
      </c>
      <c r="F54" s="7">
        <f>D54*E54</f>
        <v/>
      </c>
    </row>
    <row r="55">
      <c r="A55" s="4" t="inlineStr">
        <is>
          <t>V.8</t>
        </is>
      </c>
      <c r="B55" s="5" t="inlineStr">
        <is>
          <t>Fourniture et pose de Globe Plafonnier</t>
        </is>
      </c>
      <c r="C55" s="6" t="inlineStr">
        <is>
          <t>u</t>
        </is>
      </c>
      <c r="D55" s="7" t="n">
        <v>7</v>
      </c>
      <c r="E55" s="7" t="n">
        <v>5000</v>
      </c>
      <c r="F55" s="7">
        <f>D55*E55</f>
        <v/>
      </c>
    </row>
    <row r="56">
      <c r="A56" s="4" t="inlineStr">
        <is>
          <t>V.9</t>
        </is>
      </c>
      <c r="B56" s="5" t="inlineStr">
        <is>
          <t>Fourniture et pose de Interrupteur Double Allumage vas et vient</t>
        </is>
      </c>
      <c r="C56" s="6" t="inlineStr">
        <is>
          <t>u</t>
        </is>
      </c>
      <c r="D56" s="7" t="n">
        <v>3</v>
      </c>
      <c r="E56" s="7" t="n">
        <v>4000</v>
      </c>
      <c r="F56" s="7">
        <f>D56*E56</f>
        <v/>
      </c>
    </row>
    <row r="57">
      <c r="A57" s="4" t="inlineStr">
        <is>
          <t>V.10</t>
        </is>
      </c>
      <c r="B57" s="5" t="inlineStr">
        <is>
          <t>Fourniture et pose de Interrupteur Simple</t>
        </is>
      </c>
      <c r="C57" s="6" t="inlineStr">
        <is>
          <t>u</t>
        </is>
      </c>
      <c r="D57" s="7" t="n">
        <v>5</v>
      </c>
      <c r="E57" s="7" t="n">
        <v>4000</v>
      </c>
      <c r="F57" s="7">
        <f>D57*E57</f>
        <v/>
      </c>
    </row>
    <row r="58">
      <c r="A58" s="4" t="inlineStr">
        <is>
          <t>V.11</t>
        </is>
      </c>
      <c r="B58" s="5" t="inlineStr">
        <is>
          <t>Fourniture et pose de Interrupteur va et vient</t>
        </is>
      </c>
      <c r="C58" s="6" t="inlineStr">
        <is>
          <t>u</t>
        </is>
      </c>
      <c r="D58" s="7" t="n">
        <v>11</v>
      </c>
      <c r="E58" s="7" t="n">
        <v>3500</v>
      </c>
      <c r="F58" s="7">
        <f>D58*E58</f>
        <v/>
      </c>
    </row>
    <row r="59">
      <c r="A59" s="4" t="inlineStr">
        <is>
          <t>V.12</t>
        </is>
      </c>
      <c r="B59" s="5" t="inlineStr">
        <is>
          <t>Fourniture et pose de Interruptur double</t>
        </is>
      </c>
      <c r="C59" s="6" t="inlineStr">
        <is>
          <t>u</t>
        </is>
      </c>
      <c r="D59" s="7" t="n">
        <v>0</v>
      </c>
      <c r="E59" s="7" t="n">
        <v>5000</v>
      </c>
      <c r="F59" s="7">
        <f>D59*E59</f>
        <v/>
      </c>
    </row>
    <row r="60">
      <c r="A60" s="4" t="inlineStr">
        <is>
          <t>V.13</t>
        </is>
      </c>
      <c r="B60" s="5" t="inlineStr">
        <is>
          <t>Fourniture et pose de Prise de courant Etanche</t>
        </is>
      </c>
      <c r="C60" s="6" t="inlineStr">
        <is>
          <t>u</t>
        </is>
      </c>
      <c r="D60" s="7" t="n">
        <v>2</v>
      </c>
      <c r="E60" s="7" t="n">
        <v>4000</v>
      </c>
      <c r="F60" s="7">
        <f>D60*E60</f>
        <v/>
      </c>
    </row>
    <row r="61">
      <c r="A61" s="4" t="inlineStr">
        <is>
          <t>V.14</t>
        </is>
      </c>
      <c r="B61" s="5" t="inlineStr">
        <is>
          <t>Fourniture et pose de Prise de Courant+Terre</t>
        </is>
      </c>
      <c r="C61" s="6" t="inlineStr">
        <is>
          <t>u</t>
        </is>
      </c>
      <c r="D61" s="7" t="n">
        <v>15</v>
      </c>
      <c r="E61" s="7" t="n">
        <v>3500</v>
      </c>
      <c r="F61" s="7">
        <f>D61*E61</f>
        <v/>
      </c>
    </row>
    <row r="62">
      <c r="A62" s="4" t="inlineStr">
        <is>
          <t>V.15</t>
        </is>
      </c>
      <c r="B62" s="5" t="inlineStr">
        <is>
          <t>Fourniture et pose de Prise Television</t>
        </is>
      </c>
      <c r="C62" s="6" t="inlineStr">
        <is>
          <t>u</t>
        </is>
      </c>
      <c r="D62" s="7" t="n">
        <v>1</v>
      </c>
      <c r="E62" s="7" t="n">
        <v>7000</v>
      </c>
      <c r="F62" s="7">
        <f>D62*E62</f>
        <v/>
      </c>
    </row>
    <row r="63">
      <c r="A63" s="4" t="inlineStr">
        <is>
          <t>V.16</t>
        </is>
      </c>
      <c r="B63" s="5" t="inlineStr">
        <is>
          <t>Fourniture et pose de Prise Telephone</t>
        </is>
      </c>
      <c r="C63" s="6" t="inlineStr">
        <is>
          <t>u</t>
        </is>
      </c>
      <c r="D63" s="7" t="n">
        <v>1</v>
      </c>
      <c r="E63" s="7" t="n">
        <v>7000</v>
      </c>
      <c r="F63" s="7">
        <f>D63*E63</f>
        <v/>
      </c>
    </row>
    <row r="64">
      <c r="A64" s="4" t="inlineStr">
        <is>
          <t>V.17</t>
        </is>
      </c>
      <c r="B64" s="5" t="inlineStr">
        <is>
          <t>Fourniture et pose de SPOT ENCASTRE 6 WATTS</t>
        </is>
      </c>
      <c r="C64" s="6" t="inlineStr">
        <is>
          <t>u</t>
        </is>
      </c>
      <c r="D64" s="7" t="n">
        <v>26</v>
      </c>
      <c r="E64" s="7" t="n">
        <v>5000</v>
      </c>
      <c r="F64" s="7">
        <f>D64*E64</f>
        <v/>
      </c>
    </row>
    <row r="65">
      <c r="A65" s="8" t="inlineStr">
        <is>
          <t>TOTAL V</t>
        </is>
      </c>
      <c r="B65" s="3" t="n"/>
      <c r="C65" s="3" t="n"/>
      <c r="D65" s="3" t="n"/>
      <c r="E65" s="8" t="inlineStr">
        <is>
          <t>Somme</t>
        </is>
      </c>
      <c r="F65" s="9">
        <f>SUM(F48:F64)</f>
        <v/>
      </c>
    </row>
    <row r="67">
      <c r="A67" s="1" t="inlineStr">
        <is>
          <t>VI</t>
        </is>
      </c>
      <c r="B67" s="2" t="inlineStr">
        <is>
          <t>PLOMBERIE SANITAIRE</t>
        </is>
      </c>
      <c r="C67" s="3" t="n"/>
      <c r="D67" s="3" t="n"/>
      <c r="E67" s="3" t="n"/>
      <c r="F67" s="3" t="n"/>
    </row>
    <row r="68">
      <c r="A68" s="4" t="inlineStr">
        <is>
          <t>VI.1</t>
        </is>
      </c>
      <c r="B68" s="5" t="inlineStr">
        <is>
          <t>Fourniture et pose de Tuyauterie d'alimentation et d'évacuation</t>
        </is>
      </c>
      <c r="C68" s="6" t="inlineStr">
        <is>
          <t>Ens.</t>
        </is>
      </c>
      <c r="D68" s="7" t="n">
        <v>1</v>
      </c>
      <c r="E68" s="7" t="n">
        <v>600000</v>
      </c>
      <c r="F68" s="7">
        <f>D68*E68</f>
        <v/>
      </c>
    </row>
    <row r="69">
      <c r="A69" s="4" t="inlineStr">
        <is>
          <t>VI.2</t>
        </is>
      </c>
      <c r="B69" s="5" t="inlineStr">
        <is>
          <t>Fourniture et pose de Baignoire</t>
        </is>
      </c>
      <c r="C69" s="6" t="inlineStr">
        <is>
          <t>u</t>
        </is>
      </c>
      <c r="D69" s="7" t="n">
        <v>1</v>
      </c>
      <c r="E69" s="7" t="n">
        <v>120000</v>
      </c>
      <c r="F69" s="7">
        <f>D69*E69</f>
        <v/>
      </c>
    </row>
    <row r="70">
      <c r="A70" s="4" t="inlineStr">
        <is>
          <t>VI.3</t>
        </is>
      </c>
      <c r="B70" s="5" t="inlineStr">
        <is>
          <t>Fourniture et pose de COLONE DE DOUCHE</t>
        </is>
      </c>
      <c r="C70" s="6" t="inlineStr">
        <is>
          <t>u</t>
        </is>
      </c>
      <c r="D70" s="7" t="n">
        <v>3</v>
      </c>
      <c r="E70" s="7" t="n">
        <v>15000</v>
      </c>
      <c r="F70" s="7">
        <f>D70*E70</f>
        <v/>
      </c>
    </row>
    <row r="71">
      <c r="A71" s="4" t="inlineStr">
        <is>
          <t>VI.4</t>
        </is>
      </c>
      <c r="B71" s="5" t="inlineStr">
        <is>
          <t>Fourniture et pose de Evier à double bacs</t>
        </is>
      </c>
      <c r="C71" s="6" t="inlineStr">
        <is>
          <t>u</t>
        </is>
      </c>
      <c r="D71" s="7" t="n">
        <v>1</v>
      </c>
      <c r="E71" s="7" t="n">
        <v>10000</v>
      </c>
      <c r="F71" s="7">
        <f>D71*E71</f>
        <v/>
      </c>
    </row>
    <row r="72">
      <c r="A72" s="4" t="inlineStr">
        <is>
          <t>VI.5</t>
        </is>
      </c>
      <c r="B72" s="5" t="inlineStr">
        <is>
          <t>Fourniture et pose de Lavabo</t>
        </is>
      </c>
      <c r="C72" s="6" t="inlineStr">
        <is>
          <t>u</t>
        </is>
      </c>
      <c r="D72" s="7" t="n">
        <v>3</v>
      </c>
      <c r="E72" s="7" t="n">
        <v>40000</v>
      </c>
      <c r="F72" s="7">
        <f>D72*E72</f>
        <v/>
      </c>
    </row>
    <row r="73">
      <c r="A73" s="4" t="inlineStr">
        <is>
          <t>VI.6</t>
        </is>
      </c>
      <c r="B73" s="5" t="inlineStr">
        <is>
          <t>Fourniture et pose de siphon de sol</t>
        </is>
      </c>
      <c r="C73" s="6" t="inlineStr">
        <is>
          <t>u</t>
        </is>
      </c>
      <c r="D73" s="7" t="n">
        <v>3</v>
      </c>
      <c r="E73" s="7" t="n">
        <v>5000</v>
      </c>
      <c r="F73" s="7">
        <f>D73*E73</f>
        <v/>
      </c>
    </row>
    <row r="74">
      <c r="A74" s="4" t="inlineStr">
        <is>
          <t>VI.7</t>
        </is>
      </c>
      <c r="B74" s="5" t="inlineStr">
        <is>
          <t>Fourniture et pose de WC</t>
        </is>
      </c>
      <c r="C74" s="6" t="inlineStr">
        <is>
          <t>u</t>
        </is>
      </c>
      <c r="D74" s="7" t="n">
        <v>2</v>
      </c>
      <c r="E74" s="7" t="n">
        <v>70000</v>
      </c>
      <c r="F74" s="7">
        <f>D74*E74</f>
        <v/>
      </c>
    </row>
    <row r="75">
      <c r="A75" s="4" t="inlineStr">
        <is>
          <t>VI.8</t>
        </is>
      </c>
      <c r="B75" s="5" t="inlineStr">
        <is>
          <t>Fourniture et pose de WC Turck</t>
        </is>
      </c>
      <c r="C75" s="6" t="inlineStr">
        <is>
          <t>u</t>
        </is>
      </c>
      <c r="D75" s="7" t="n">
        <v>1</v>
      </c>
      <c r="E75" s="7" t="n">
        <v>0</v>
      </c>
      <c r="F75" s="7">
        <f>D75*E75</f>
        <v/>
      </c>
    </row>
    <row r="76">
      <c r="A76" s="8" t="inlineStr">
        <is>
          <t>TOTAL VI</t>
        </is>
      </c>
      <c r="B76" s="3" t="n"/>
      <c r="C76" s="3" t="n"/>
      <c r="D76" s="3" t="n"/>
      <c r="E76" s="8" t="inlineStr">
        <is>
          <t>Somme</t>
        </is>
      </c>
      <c r="F76" s="9">
        <f>SUM(F68:F75)</f>
        <v/>
      </c>
    </row>
    <row r="78">
      <c r="A78" s="1" t="inlineStr">
        <is>
          <t>VII</t>
        </is>
      </c>
      <c r="B78" s="2" t="inlineStr">
        <is>
          <t>REVETEMENT</t>
        </is>
      </c>
      <c r="C78" s="3" t="n"/>
      <c r="D78" s="3" t="n"/>
      <c r="E78" s="3" t="n"/>
      <c r="F78" s="3" t="n"/>
    </row>
    <row r="79">
      <c r="A79" s="4" t="inlineStr">
        <is>
          <t>VII.1</t>
        </is>
      </c>
      <c r="B79" s="5" t="inlineStr">
        <is>
          <t>Carreau grès cérame sol</t>
        </is>
      </c>
      <c r="C79" s="6" t="inlineStr">
        <is>
          <t>m²</t>
        </is>
      </c>
      <c r="D79" s="7" t="n">
        <v>150</v>
      </c>
      <c r="E79" s="7" t="n">
        <v>10000</v>
      </c>
      <c r="F79" s="7">
        <f>D79*E79</f>
        <v/>
      </c>
    </row>
    <row r="80">
      <c r="A80" s="4" t="inlineStr">
        <is>
          <t>VII.2</t>
        </is>
      </c>
      <c r="B80" s="5" t="inlineStr">
        <is>
          <t>plinthes</t>
        </is>
      </c>
      <c r="C80" s="6" t="inlineStr">
        <is>
          <t>m²</t>
        </is>
      </c>
      <c r="D80" s="7" t="n">
        <v>13</v>
      </c>
      <c r="E80" s="7" t="n">
        <v>9000</v>
      </c>
      <c r="F80" s="7">
        <f>D80*E80</f>
        <v/>
      </c>
    </row>
    <row r="81">
      <c r="A81" s="4" t="inlineStr">
        <is>
          <t>VII.3</t>
        </is>
      </c>
      <c r="B81" s="5" t="inlineStr">
        <is>
          <t>Faience sur mur cuisine</t>
        </is>
      </c>
      <c r="C81" s="6" t="inlineStr">
        <is>
          <t>m²</t>
        </is>
      </c>
      <c r="D81" s="7" t="n">
        <v>19.35</v>
      </c>
      <c r="E81" s="7" t="n">
        <v>8000</v>
      </c>
      <c r="F81" s="7">
        <f>D81*E81</f>
        <v/>
      </c>
    </row>
    <row r="82">
      <c r="A82" s="4" t="inlineStr">
        <is>
          <t>VII.4</t>
        </is>
      </c>
      <c r="B82" s="5" t="inlineStr">
        <is>
          <t>Faience sur mur toillettes</t>
        </is>
      </c>
      <c r="C82" s="6" t="inlineStr">
        <is>
          <t>m²</t>
        </is>
      </c>
      <c r="D82" s="7" t="n">
        <v>36.11</v>
      </c>
      <c r="E82" s="7" t="n">
        <v>8000</v>
      </c>
      <c r="F82" s="7">
        <f>D82*E82</f>
        <v/>
      </c>
    </row>
    <row r="83">
      <c r="A83" s="8" t="inlineStr">
        <is>
          <t>TOTAL VII</t>
        </is>
      </c>
      <c r="B83" s="3" t="n"/>
      <c r="C83" s="3" t="n"/>
      <c r="D83" s="3" t="n"/>
      <c r="E83" s="8" t="inlineStr">
        <is>
          <t>Somme</t>
        </is>
      </c>
      <c r="F83" s="9">
        <f>SUM(F79:F82)</f>
        <v/>
      </c>
    </row>
    <row r="85">
      <c r="A85" s="1" t="inlineStr">
        <is>
          <t>VIII</t>
        </is>
      </c>
      <c r="B85" s="2" t="inlineStr">
        <is>
          <t>PEINTURE</t>
        </is>
      </c>
      <c r="C85" s="3" t="n"/>
      <c r="D85" s="3" t="n"/>
      <c r="E85" s="3" t="n"/>
      <c r="F85" s="3" t="n"/>
    </row>
    <row r="86">
      <c r="A86" s="4" t="inlineStr">
        <is>
          <t>VIII.1</t>
        </is>
      </c>
      <c r="B86" s="5" t="inlineStr">
        <is>
          <t>Badigeon à la chaux</t>
        </is>
      </c>
      <c r="C86" s="6" t="inlineStr">
        <is>
          <t>m²</t>
        </is>
      </c>
      <c r="D86" s="7" t="n">
        <v>708.24</v>
      </c>
      <c r="E86" s="7" t="n">
        <v>300</v>
      </c>
      <c r="F86" s="7">
        <f>D86*E86</f>
        <v/>
      </c>
    </row>
    <row r="87">
      <c r="A87" s="4" t="inlineStr">
        <is>
          <t>VIII.2</t>
        </is>
      </c>
      <c r="B87" s="5" t="inlineStr">
        <is>
          <t>Peinture intérieur fom sur mur intérieur</t>
        </is>
      </c>
      <c r="C87" s="6" t="inlineStr">
        <is>
          <t>m²</t>
        </is>
      </c>
      <c r="D87" s="7" t="n">
        <v>537.24</v>
      </c>
      <c r="E87" s="7" t="n">
        <v>3000</v>
      </c>
      <c r="F87" s="7">
        <f>D87*E87</f>
        <v/>
      </c>
    </row>
    <row r="88">
      <c r="A88" s="4" t="inlineStr">
        <is>
          <t>VIII.3</t>
        </is>
      </c>
      <c r="B88" s="5" t="inlineStr">
        <is>
          <t>Peinture plastique (marmorex) pour extérieur</t>
        </is>
      </c>
      <c r="C88" s="6" t="inlineStr">
        <is>
          <t>m²</t>
        </is>
      </c>
      <c r="D88" s="7" t="n">
        <v>171</v>
      </c>
      <c r="E88" s="7" t="n">
        <v>6000</v>
      </c>
      <c r="F88" s="7">
        <f>D88*E88</f>
        <v/>
      </c>
    </row>
    <row r="89">
      <c r="A89" s="8" t="inlineStr">
        <is>
          <t>TOTAL VIII</t>
        </is>
      </c>
      <c r="B89" s="3" t="n"/>
      <c r="C89" s="3" t="n"/>
      <c r="D89" s="3" t="n"/>
      <c r="E89" s="8" t="inlineStr">
        <is>
          <t>Somme</t>
        </is>
      </c>
      <c r="F89" s="9">
        <f>SUM(F86:F88)</f>
        <v/>
      </c>
    </row>
    <row r="91">
      <c r="A91" s="1" t="inlineStr">
        <is>
          <t>IX</t>
        </is>
      </c>
      <c r="B91" s="2" t="inlineStr">
        <is>
          <t>TOITURE</t>
        </is>
      </c>
      <c r="C91" s="3" t="n"/>
      <c r="D91" s="3" t="n"/>
      <c r="E91" s="3" t="n"/>
      <c r="F91" s="3" t="n"/>
    </row>
    <row r="92">
      <c r="A92" s="4" t="inlineStr">
        <is>
          <t>IX.1</t>
        </is>
      </c>
      <c r="B92" s="5" t="inlineStr">
        <is>
          <t>TOITURE</t>
        </is>
      </c>
      <c r="C92" s="6" t="inlineStr">
        <is>
          <t>m²</t>
        </is>
      </c>
      <c r="D92" s="7" t="n">
        <v>136.4</v>
      </c>
      <c r="E92" s="7" t="n">
        <v>10000</v>
      </c>
      <c r="F92" s="7">
        <f>D92*E92</f>
        <v/>
      </c>
    </row>
    <row r="93">
      <c r="A93" s="4" t="inlineStr">
        <is>
          <t>IX.2</t>
        </is>
      </c>
      <c r="B93" s="5" t="inlineStr">
        <is>
          <t>ETENCHEITE</t>
        </is>
      </c>
      <c r="C93" s="6" t="inlineStr">
        <is>
          <t>FF</t>
        </is>
      </c>
      <c r="D93" s="7" t="n">
        <v>1</v>
      </c>
      <c r="E93" s="7" t="n">
        <v>15000</v>
      </c>
      <c r="F93" s="7">
        <f>D93*E93</f>
        <v/>
      </c>
    </row>
    <row r="94">
      <c r="A94" s="8" t="inlineStr">
        <is>
          <t>TOTAL IX</t>
        </is>
      </c>
      <c r="B94" s="3" t="n"/>
      <c r="C94" s="3" t="n"/>
      <c r="D94" s="3" t="n"/>
      <c r="E94" s="8" t="inlineStr">
        <is>
          <t>Somme</t>
        </is>
      </c>
      <c r="F94" s="9">
        <f>SUM(F92:F93)</f>
        <v/>
      </c>
    </row>
    <row r="96">
      <c r="A96" s="1" t="inlineStr">
        <is>
          <t>--- RÉCAPITULATIF ---</t>
        </is>
      </c>
      <c r="B96" s="3" t="n"/>
      <c r="C96" s="3" t="n"/>
      <c r="D96" s="3" t="n"/>
      <c r="E96" s="3" t="n"/>
      <c r="F96" s="3" t="n"/>
    </row>
    <row r="97">
      <c r="A97" s="6" t="inlineStr">
        <is>
          <t>I</t>
        </is>
      </c>
      <c r="B97" s="4" t="inlineStr">
        <is>
          <t>TERRASSEMENT</t>
        </is>
      </c>
      <c r="C97" s="3" t="n"/>
      <c r="D97" s="3" t="n"/>
      <c r="E97" s="3" t="n"/>
      <c r="F97" s="7">
        <f>F9</f>
        <v/>
      </c>
    </row>
    <row r="98">
      <c r="A98" s="6" t="inlineStr">
        <is>
          <t>II</t>
        </is>
      </c>
      <c r="B98" s="4" t="inlineStr">
        <is>
          <t>INFRASTRUCTURE</t>
        </is>
      </c>
      <c r="C98" s="3" t="n"/>
      <c r="D98" s="3" t="n"/>
      <c r="E98" s="3" t="n"/>
      <c r="F98" s="7">
        <f>F19</f>
        <v/>
      </c>
    </row>
    <row r="99">
      <c r="A99" s="6" t="inlineStr">
        <is>
          <t>III</t>
        </is>
      </c>
      <c r="B99" s="4" t="inlineStr">
        <is>
          <t>SUPERSTRUCTURE</t>
        </is>
      </c>
      <c r="C99" s="3" t="n"/>
      <c r="D99" s="3" t="n"/>
      <c r="E99" s="3" t="n"/>
      <c r="F99" s="7">
        <f>F34</f>
        <v/>
      </c>
    </row>
    <row r="100">
      <c r="A100" s="6" t="inlineStr">
        <is>
          <t>IV</t>
        </is>
      </c>
      <c r="B100" s="4" t="inlineStr">
        <is>
          <t>MENUISERIE</t>
        </is>
      </c>
      <c r="C100" s="3" t="n"/>
      <c r="D100" s="3" t="n"/>
      <c r="E100" s="3" t="n"/>
      <c r="F100" s="7">
        <f>F45</f>
        <v/>
      </c>
    </row>
    <row r="101">
      <c r="A101" s="6" t="inlineStr">
        <is>
          <t>V</t>
        </is>
      </c>
      <c r="B101" s="4" t="inlineStr">
        <is>
          <t>ELECTRICITE</t>
        </is>
      </c>
      <c r="C101" s="3" t="n"/>
      <c r="D101" s="3" t="n"/>
      <c r="E101" s="3" t="n"/>
      <c r="F101" s="7">
        <f>F65</f>
        <v/>
      </c>
    </row>
    <row r="102">
      <c r="A102" s="6" t="inlineStr">
        <is>
          <t>VI</t>
        </is>
      </c>
      <c r="B102" s="4" t="inlineStr">
        <is>
          <t>PLOMBERIE SANITAIRE</t>
        </is>
      </c>
      <c r="C102" s="3" t="n"/>
      <c r="D102" s="3" t="n"/>
      <c r="E102" s="3" t="n"/>
      <c r="F102" s="7">
        <f>F76</f>
        <v/>
      </c>
    </row>
    <row r="103">
      <c r="A103" s="6" t="inlineStr">
        <is>
          <t>VII</t>
        </is>
      </c>
      <c r="B103" s="4" t="inlineStr">
        <is>
          <t>REVETEMENT</t>
        </is>
      </c>
      <c r="C103" s="3" t="n"/>
      <c r="D103" s="3" t="n"/>
      <c r="E103" s="3" t="n"/>
      <c r="F103" s="7">
        <f>F83</f>
        <v/>
      </c>
    </row>
    <row r="104">
      <c r="A104" s="6" t="inlineStr">
        <is>
          <t>VIII</t>
        </is>
      </c>
      <c r="B104" s="4" t="inlineStr">
        <is>
          <t>PEINTURE</t>
        </is>
      </c>
      <c r="C104" s="3" t="n"/>
      <c r="D104" s="3" t="n"/>
      <c r="E104" s="3" t="n"/>
      <c r="F104" s="7">
        <f>F89</f>
        <v/>
      </c>
    </row>
    <row r="105">
      <c r="A105" s="6" t="inlineStr">
        <is>
          <t>IX</t>
        </is>
      </c>
      <c r="B105" s="4" t="inlineStr">
        <is>
          <t>TOITURE</t>
        </is>
      </c>
      <c r="C105" s="3" t="n"/>
      <c r="D105" s="3" t="n"/>
      <c r="E105" s="3" t="n"/>
      <c r="F105" s="7">
        <f>F94</f>
        <v/>
      </c>
    </row>
    <row r="106">
      <c r="A106" s="8" t="inlineStr">
        <is>
          <t>TOTAL GÉNÉRAL HTVA</t>
        </is>
      </c>
      <c r="B106" s="3" t="n"/>
      <c r="C106" s="3" t="n"/>
      <c r="D106" s="3" t="n"/>
      <c r="E106" s="3" t="n"/>
      <c r="F106" s="9">
        <f>SUM(F97,F98,F99,F100,F101,F102,F103,F104,F105)</f>
        <v/>
      </c>
    </row>
    <row r="107">
      <c r="A107" s="10" t="inlineStr">
        <is>
          <t>Arrêter le présent devis estimatif à la somme de : vingt-trois millions six cent trente mille trois cent soixante-six  (23630366)  Francs CFA</t>
        </is>
      </c>
    </row>
  </sheetData>
  <mergeCells count="30">
    <mergeCell ref="B91:F91"/>
    <mergeCell ref="B47:F47"/>
    <mergeCell ref="B104:E104"/>
    <mergeCell ref="A19:D19"/>
    <mergeCell ref="B21:F21"/>
    <mergeCell ref="A9:D9"/>
    <mergeCell ref="A34:D34"/>
    <mergeCell ref="A83:D83"/>
    <mergeCell ref="B97:E97"/>
    <mergeCell ref="B11:F11"/>
    <mergeCell ref="B100:E100"/>
    <mergeCell ref="B67:F67"/>
    <mergeCell ref="B1:F1"/>
    <mergeCell ref="A96:F96"/>
    <mergeCell ref="A45:D45"/>
    <mergeCell ref="A94:D94"/>
    <mergeCell ref="B102:E102"/>
    <mergeCell ref="B105:E105"/>
    <mergeCell ref="B78:F78"/>
    <mergeCell ref="A65:D65"/>
    <mergeCell ref="B99:E99"/>
    <mergeCell ref="B101:E101"/>
    <mergeCell ref="B98:E98"/>
    <mergeCell ref="A106:E106"/>
    <mergeCell ref="A107:F107"/>
    <mergeCell ref="A89:D89"/>
    <mergeCell ref="B85:F85"/>
    <mergeCell ref="B36:F36"/>
    <mergeCell ref="B103:E103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2026-04-03T22:11:13Z</dcterms:created>
  <dcterms:modified xmlns:dcterms="http://purl.org/dc/terms/" xmlns:xsi="http://www.w3.org/2001/XMLSchema-instance" xsi:type="dcterms:W3CDTF">2026-04-03T22:11:13Z</dcterms:modified>
</cp:coreProperties>
</file>